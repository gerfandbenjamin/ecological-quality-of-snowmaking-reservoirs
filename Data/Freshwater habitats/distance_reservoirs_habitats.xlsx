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èse Gerfand\2 - Qualité écologique RA\Article qualité écologique\Soumission\Aquatic Sciences\Supplementary material\Data\"/>
    </mc:Choice>
  </mc:AlternateContent>
  <xr:revisionPtr revIDLastSave="0" documentId="13_ncr:1_{E7C1EFB6-CB76-4357-B677-073B071E70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ce distances RA_PE" sheetId="1" r:id="rId1"/>
  </sheets>
  <definedNames>
    <definedName name="_xlnm._FilterDatabase" localSheetId="0" hidden="1">'Matrice distances RA_PE'!$A$1:$C$1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J3" i="1"/>
  <c r="H10" i="1"/>
  <c r="F10" i="1"/>
  <c r="H9" i="1"/>
  <c r="F9" i="1"/>
  <c r="H4" i="1"/>
  <c r="H3" i="1"/>
  <c r="F3" i="1"/>
  <c r="F6" i="1"/>
  <c r="F7" i="1"/>
  <c r="F4" i="1"/>
</calcChain>
</file>

<file path=xl/sharedStrings.xml><?xml version="1.0" encoding="utf-8"?>
<sst xmlns="http://schemas.openxmlformats.org/spreadsheetml/2006/main" count="150" uniqueCount="143">
  <si>
    <t>Lovatiere</t>
  </si>
  <si>
    <t>Cesar Durand</t>
  </si>
  <si>
    <t>Gros Crey</t>
  </si>
  <si>
    <t>Prajourdan</t>
  </si>
  <si>
    <t>Challiers</t>
  </si>
  <si>
    <t>Eriscal 1</t>
  </si>
  <si>
    <t>Nant Burian</t>
  </si>
  <si>
    <t>Adret des Tuffes</t>
  </si>
  <si>
    <t>Col de La Chal</t>
  </si>
  <si>
    <t>Iseran</t>
  </si>
  <si>
    <t>Lachat 73</t>
  </si>
  <si>
    <t>Prarian</t>
  </si>
  <si>
    <t>Bec de l'Aigle</t>
  </si>
  <si>
    <t>Forcle</t>
  </si>
  <si>
    <t>Gentianes</t>
  </si>
  <si>
    <t>Altiport</t>
  </si>
  <si>
    <t>Praz Juget</t>
  </si>
  <si>
    <t>Les Combes</t>
  </si>
  <si>
    <t>Echauds 2</t>
  </si>
  <si>
    <t>Ariondaz</t>
  </si>
  <si>
    <t>Cherferie</t>
  </si>
  <si>
    <t>Lac de la Vieille</t>
  </si>
  <si>
    <t>Arenouillaz</t>
  </si>
  <si>
    <t>Eriscal 2</t>
  </si>
  <si>
    <t>Teppes Noires</t>
  </si>
  <si>
    <t>Lezette</t>
  </si>
  <si>
    <t>Solaise</t>
  </si>
  <si>
    <t>Borsat</t>
  </si>
  <si>
    <t>Moutiere</t>
  </si>
  <si>
    <t>Jeux</t>
  </si>
  <si>
    <t>La Cua</t>
  </si>
  <si>
    <t>Biolley</t>
  </si>
  <si>
    <t>Lac 1</t>
  </si>
  <si>
    <t>Lac des deux lacs</t>
  </si>
  <si>
    <t>Coches (Montchavin)</t>
  </si>
  <si>
    <t>Col du Joly</t>
  </si>
  <si>
    <t>Platiere</t>
  </si>
  <si>
    <t>Pechette</t>
  </si>
  <si>
    <t>Pierres Blanches</t>
  </si>
  <si>
    <t>Esserenes</t>
  </si>
  <si>
    <t>Pelourenq 1</t>
  </si>
  <si>
    <t>Pelourenq 2</t>
  </si>
  <si>
    <t>Aigue Noire</t>
  </si>
  <si>
    <t>Rocher Noir</t>
  </si>
  <si>
    <t>Pre Rouge</t>
  </si>
  <si>
    <t>Fontaines</t>
  </si>
  <si>
    <t>Grand Clos</t>
  </si>
  <si>
    <t>Jaillet</t>
  </si>
  <si>
    <t>Javen</t>
  </si>
  <si>
    <t>Rosay</t>
  </si>
  <si>
    <t>Creve Coeur</t>
  </si>
  <si>
    <t>Ferriaz</t>
  </si>
  <si>
    <t>Cour</t>
  </si>
  <si>
    <t>Rocher blanc</t>
  </si>
  <si>
    <t>Casse du boeuf</t>
  </si>
  <si>
    <t>Bergerie</t>
  </si>
  <si>
    <t>Eychauda</t>
  </si>
  <si>
    <t>Cret du Merle</t>
  </si>
  <si>
    <t>Lachat 74</t>
  </si>
  <si>
    <t>Etale</t>
  </si>
  <si>
    <t>Combe de Pelluaz</t>
  </si>
  <si>
    <t>Corbeau Hirmentaz</t>
  </si>
  <si>
    <t>Nyon-Guerin</t>
  </si>
  <si>
    <t>Marais</t>
  </si>
  <si>
    <t>Ecoles Mouille des Boittets</t>
  </si>
  <si>
    <t>Pellys</t>
  </si>
  <si>
    <t>Memises 2</t>
  </si>
  <si>
    <t>Memises 3</t>
  </si>
  <si>
    <t>Marmottes 1</t>
  </si>
  <si>
    <t>Marmottes 2</t>
  </si>
  <si>
    <t>Piegut</t>
  </si>
  <si>
    <t>Lac des Vallons</t>
  </si>
  <si>
    <t>Montfrais</t>
  </si>
  <si>
    <t>La Morte</t>
  </si>
  <si>
    <t>Gonson</t>
  </si>
  <si>
    <t>Lac des Pres</t>
  </si>
  <si>
    <t>Moucherolle</t>
  </si>
  <si>
    <t>Geve</t>
  </si>
  <si>
    <t>La Jasse</t>
  </si>
  <si>
    <t>Le Dome</t>
  </si>
  <si>
    <t>St-Hilaire</t>
  </si>
  <si>
    <t>St-Bernard</t>
  </si>
  <si>
    <t>Grenouillere</t>
  </si>
  <si>
    <t>Roche Beranger</t>
  </si>
  <si>
    <t>Combe Oursiere</t>
  </si>
  <si>
    <t>Herpie</t>
  </si>
  <si>
    <t>Combe Javel</t>
  </si>
  <si>
    <t>Chategre</t>
  </si>
  <si>
    <t>Pres Soubeyrands</t>
  </si>
  <si>
    <t>Gondrans</t>
  </si>
  <si>
    <t>Peychier</t>
  </si>
  <si>
    <t>Alp</t>
  </si>
  <si>
    <t>Cesier</t>
  </si>
  <si>
    <t>Libouse</t>
  </si>
  <si>
    <t>Sellaret</t>
  </si>
  <si>
    <t>Chabrieres</t>
  </si>
  <si>
    <t>Bez</t>
  </si>
  <si>
    <t>Mouille au Ble</t>
  </si>
  <si>
    <t>Roche Noire</t>
  </si>
  <si>
    <t>Lac des Avenieres</t>
  </si>
  <si>
    <t>Pra Premier</t>
  </si>
  <si>
    <t>Alpette</t>
  </si>
  <si>
    <t>Semnoz</t>
  </si>
  <si>
    <t>Les Tappes</t>
  </si>
  <si>
    <t>Chateluy</t>
  </si>
  <si>
    <t>Frebouge d'en bas</t>
  </si>
  <si>
    <t>Maroly</t>
  </si>
  <si>
    <t>Flegere</t>
  </si>
  <si>
    <t>Airon</t>
  </si>
  <si>
    <t>Gron</t>
  </si>
  <si>
    <t>Pecheurs Chavanne</t>
  </si>
  <si>
    <t>Pre Vert</t>
  </si>
  <si>
    <t>Golf</t>
  </si>
  <si>
    <t>Prolays</t>
  </si>
  <si>
    <t>Plaine Dranse</t>
  </si>
  <si>
    <t>Queyset</t>
  </si>
  <si>
    <t>Sagy</t>
  </si>
  <si>
    <t>Esserts Fremoux</t>
  </si>
  <si>
    <t>Pellys Pre Richard</t>
  </si>
  <si>
    <t>Memises 1</t>
  </si>
  <si>
    <t>Merdassier</t>
  </si>
  <si>
    <t>Veret</t>
  </si>
  <si>
    <t>Socqua</t>
  </si>
  <si>
    <t>Cret Beni</t>
  </si>
  <si>
    <t>Col de la Ramaz</t>
  </si>
  <si>
    <t>Chery</t>
  </si>
  <si>
    <t>Renardiere</t>
  </si>
  <si>
    <t>Granges Pagnoud</t>
  </si>
  <si>
    <t>Habere Poche</t>
  </si>
  <si>
    <t>Fornet</t>
  </si>
  <si>
    <t>Mont d'Arbois</t>
  </si>
  <si>
    <t>Distance_cours d'eau</t>
  </si>
  <si>
    <t>Distance_plan d'eau (m)</t>
  </si>
  <si>
    <t>dist moy_PE</t>
  </si>
  <si>
    <t>dist_moy_CE</t>
  </si>
  <si>
    <t>Nom</t>
  </si>
  <si>
    <t>% RA &lt; 2km PE</t>
  </si>
  <si>
    <t>% RA &lt; 2km CE</t>
  </si>
  <si>
    <t>m</t>
  </si>
  <si>
    <t>%</t>
  </si>
  <si>
    <t>dist moy_PE &lt;2km</t>
  </si>
  <si>
    <t>dist_moy_CE &lt;2km</t>
  </si>
  <si>
    <t>sd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</si>
</sst>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0" fillId="2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workbookViewId="0">
      <selection activeCell="E19" sqref="E19"/>
    </sheetView>
  </sheetViews>
  <sheetFormatPr baseColWidth="10" defaultRowHeight="12.5" x14ac:dyDescent="0.25"/>
  <cols>
    <col min="1" max="1" width="23.26953125" style="2" bestFit="1" customWidth="1"/>
    <col min="2" max="2" width="20.1796875" style="2" bestFit="1" customWidth="1"/>
    <col min="3" max="3" width="18" style="2" bestFit="1" customWidth="1"/>
    <col min="4" max="4" width="15" style="2"/>
    <col min="5" max="5" width="16.54296875" style="2" bestFit="1" customWidth="1"/>
    <col min="6" max="6" width="6.36328125" style="2" bestFit="1" customWidth="1"/>
    <col min="7" max="7" width="4.36328125" style="2" bestFit="1" customWidth="1"/>
    <col min="8" max="8" width="6.36328125" style="2" bestFit="1" customWidth="1"/>
    <col min="9" max="9" width="2.26953125" style="2" bestFit="1" customWidth="1"/>
    <col min="10" max="1023" width="15" style="2"/>
    <col min="1024" max="16384" width="10.90625" style="2"/>
  </cols>
  <sheetData>
    <row r="1" spans="1:10" x14ac:dyDescent="0.25">
      <c r="A1" s="2" t="s">
        <v>135</v>
      </c>
      <c r="B1" s="2" t="s">
        <v>132</v>
      </c>
      <c r="C1" s="2" t="s">
        <v>131</v>
      </c>
    </row>
    <row r="2" spans="1:10" x14ac:dyDescent="0.25">
      <c r="A2" s="4" t="s">
        <v>7</v>
      </c>
      <c r="B2" s="3">
        <v>380.49510432857937</v>
      </c>
      <c r="C2" s="1">
        <v>459.37853354006722</v>
      </c>
    </row>
    <row r="3" spans="1:10" x14ac:dyDescent="0.25">
      <c r="A3" s="4" t="s">
        <v>42</v>
      </c>
      <c r="B3" s="3">
        <v>2209.687538253314</v>
      </c>
      <c r="C3" s="1">
        <v>276.43127051380941</v>
      </c>
      <c r="E3" s="2" t="s">
        <v>133</v>
      </c>
      <c r="F3" s="5">
        <f>AVERAGE(B2:B132)</f>
        <v>1488.4028055443891</v>
      </c>
      <c r="G3" s="2" t="s">
        <v>142</v>
      </c>
      <c r="H3" s="5">
        <f>_xlfn.STDEV.S(B2:B132)</f>
        <v>1502.1416506366577</v>
      </c>
      <c r="I3" s="2" t="s">
        <v>138</v>
      </c>
      <c r="J3" s="3">
        <f>MEDIAN(B2:B132)</f>
        <v>1148.826419574792</v>
      </c>
    </row>
    <row r="4" spans="1:10" x14ac:dyDescent="0.25">
      <c r="A4" s="4" t="s">
        <v>108</v>
      </c>
      <c r="B4" s="3">
        <v>1312.7206358129199</v>
      </c>
      <c r="C4" s="1">
        <v>613.44958555123344</v>
      </c>
      <c r="E4" s="2" t="s">
        <v>134</v>
      </c>
      <c r="F4" s="5">
        <f>AVERAGE(C2:C132)</f>
        <v>578.71841100837264</v>
      </c>
      <c r="G4" s="2" t="s">
        <v>142</v>
      </c>
      <c r="H4" s="5">
        <f>_xlfn.STDEV.S(C2:C132)</f>
        <v>504.77047084519597</v>
      </c>
      <c r="I4" s="2" t="s">
        <v>138</v>
      </c>
      <c r="J4" s="3">
        <f>MEDIAN(C2:C132)</f>
        <v>412.32680548621943</v>
      </c>
    </row>
    <row r="5" spans="1:10" x14ac:dyDescent="0.25">
      <c r="A5" s="4" t="s">
        <v>91</v>
      </c>
      <c r="B5" s="3">
        <v>1414.9871122696661</v>
      </c>
      <c r="C5" s="1">
        <v>89.752885840692258</v>
      </c>
    </row>
    <row r="6" spans="1:10" x14ac:dyDescent="0.25">
      <c r="A6" s="4" t="s">
        <v>101</v>
      </c>
      <c r="B6" s="3">
        <v>829.8793657637126</v>
      </c>
      <c r="C6" s="1">
        <v>234.60482032189071</v>
      </c>
      <c r="E6" s="2" t="s">
        <v>136</v>
      </c>
      <c r="F6" s="5">
        <f>(95/131)*100</f>
        <v>72.51908396946564</v>
      </c>
      <c r="G6" s="2" t="s">
        <v>139</v>
      </c>
    </row>
    <row r="7" spans="1:10" x14ac:dyDescent="0.25">
      <c r="A7" s="4" t="s">
        <v>15</v>
      </c>
      <c r="B7" s="3">
        <v>1426.698828619476</v>
      </c>
      <c r="C7" s="1">
        <v>965.17981163114257</v>
      </c>
      <c r="E7" s="2" t="s">
        <v>137</v>
      </c>
      <c r="F7" s="5">
        <f>(129/131)*100</f>
        <v>98.473282442748086</v>
      </c>
      <c r="G7" s="2" t="s">
        <v>139</v>
      </c>
    </row>
    <row r="8" spans="1:10" x14ac:dyDescent="0.25">
      <c r="A8" s="4" t="s">
        <v>22</v>
      </c>
      <c r="B8" s="3">
        <v>3400.5762853154679</v>
      </c>
      <c r="C8" s="1">
        <v>228.87694524868471</v>
      </c>
    </row>
    <row r="9" spans="1:10" x14ac:dyDescent="0.25">
      <c r="A9" s="4" t="s">
        <v>19</v>
      </c>
      <c r="B9" s="3">
        <v>2.053430607928235</v>
      </c>
      <c r="C9" s="1">
        <v>287.80844730914657</v>
      </c>
      <c r="E9" s="2" t="s">
        <v>140</v>
      </c>
      <c r="F9" s="3">
        <f>AVERAGE(B2,B4:B7,B9:B10,B12:B20,B22:B23,B26:B34,B36:B43,B45,B47:B48,B52,B53,B57,B59,B61,B64,B65,B67:B70,B72:B78,B80:B82,B84:B86,B90:B99,B101,B104,B106:B108,B110:B122,B126:B128,B131:B132)</f>
        <v>769.82680614913329</v>
      </c>
      <c r="G9" s="2" t="s">
        <v>142</v>
      </c>
      <c r="H9" s="5">
        <f>_xlfn.STDEV.S(B2,B4:B7,B9:B10,B12:B20,B22:B23,B26:B34,B36:B43,B45,B47:B48,B52,B53,B57,B59,B61,B64,B65,B67:B70,B72:B78,B80:B82,B84:B86,B90:B99,B101,B104,B106:B108,B110:B122,B126:B128,B131:B132)</f>
        <v>630.47548901707069</v>
      </c>
      <c r="I9" s="2" t="s">
        <v>138</v>
      </c>
    </row>
    <row r="10" spans="1:10" x14ac:dyDescent="0.25">
      <c r="A10" s="4" t="s">
        <v>12</v>
      </c>
      <c r="B10" s="3">
        <v>1004.254589028367</v>
      </c>
      <c r="C10" s="1">
        <v>638.99378668463555</v>
      </c>
      <c r="E10" s="2" t="s">
        <v>141</v>
      </c>
      <c r="F10" s="3">
        <f>AVERAGE(C2:C50,C52:C125,C127:C132)</f>
        <v>548.56648169793766</v>
      </c>
      <c r="G10" s="2" t="s">
        <v>142</v>
      </c>
      <c r="H10" s="5">
        <f>_xlfn.STDEV.S(C2:C50,C52:C125,C127:C132)</f>
        <v>444.8370813745567</v>
      </c>
      <c r="I10" s="2" t="s">
        <v>138</v>
      </c>
    </row>
    <row r="11" spans="1:10" x14ac:dyDescent="0.25">
      <c r="A11" s="4" t="s">
        <v>55</v>
      </c>
      <c r="B11" s="3">
        <v>2223.994728206073</v>
      </c>
      <c r="C11" s="1">
        <v>241.29008232275731</v>
      </c>
      <c r="H11" s="5"/>
    </row>
    <row r="12" spans="1:10" x14ac:dyDescent="0.25">
      <c r="A12" s="4" t="s">
        <v>96</v>
      </c>
      <c r="B12" s="3">
        <v>1255.8791238345341</v>
      </c>
      <c r="C12" s="1">
        <v>234.51670355650921</v>
      </c>
    </row>
    <row r="13" spans="1:10" x14ac:dyDescent="0.25">
      <c r="A13" s="4" t="s">
        <v>31</v>
      </c>
      <c r="B13" s="3">
        <v>1567.8565692422651</v>
      </c>
      <c r="C13" s="1">
        <v>99.170999562070634</v>
      </c>
    </row>
    <row r="14" spans="1:10" x14ac:dyDescent="0.25">
      <c r="A14" s="4" t="s">
        <v>27</v>
      </c>
      <c r="B14" s="3">
        <v>623.66585765899288</v>
      </c>
      <c r="C14" s="1">
        <v>241.0639852124533</v>
      </c>
    </row>
    <row r="15" spans="1:10" x14ac:dyDescent="0.25">
      <c r="A15" s="4" t="s">
        <v>54</v>
      </c>
      <c r="B15" s="3">
        <v>1938.797934040422</v>
      </c>
      <c r="C15" s="1">
        <v>117.42949149734351</v>
      </c>
    </row>
    <row r="16" spans="1:10" x14ac:dyDescent="0.25">
      <c r="A16" s="4" t="s">
        <v>1</v>
      </c>
      <c r="B16" s="3">
        <v>756.4209249694344</v>
      </c>
      <c r="C16" s="1">
        <v>233.7474865696208</v>
      </c>
    </row>
    <row r="17" spans="1:3" x14ac:dyDescent="0.25">
      <c r="A17" s="4" t="s">
        <v>92</v>
      </c>
      <c r="B17" s="3">
        <v>1717.232825429985</v>
      </c>
      <c r="C17" s="1">
        <v>596.75336915212461</v>
      </c>
    </row>
    <row r="18" spans="1:3" x14ac:dyDescent="0.25">
      <c r="A18" s="4" t="s">
        <v>95</v>
      </c>
      <c r="B18" s="3">
        <v>2.080604771917737</v>
      </c>
      <c r="C18" s="1">
        <v>575.45588369364793</v>
      </c>
    </row>
    <row r="19" spans="1:3" x14ac:dyDescent="0.25">
      <c r="A19" s="4" t="s">
        <v>4</v>
      </c>
      <c r="B19" s="3">
        <v>1628.545803640412</v>
      </c>
      <c r="C19" s="1">
        <v>47.160980118777779</v>
      </c>
    </row>
    <row r="20" spans="1:3" x14ac:dyDescent="0.25">
      <c r="A20" s="4" t="s">
        <v>87</v>
      </c>
      <c r="B20" s="3">
        <v>627.276791782754</v>
      </c>
      <c r="C20" s="1">
        <v>987.14563370059136</v>
      </c>
    </row>
    <row r="21" spans="1:3" x14ac:dyDescent="0.25">
      <c r="A21" s="4" t="s">
        <v>104</v>
      </c>
      <c r="B21" s="3">
        <v>3574.5824119458011</v>
      </c>
      <c r="C21" s="1">
        <v>1049.855921251982</v>
      </c>
    </row>
    <row r="22" spans="1:3" x14ac:dyDescent="0.25">
      <c r="A22" s="4" t="s">
        <v>20</v>
      </c>
      <c r="B22" s="3">
        <v>1273.031161617125</v>
      </c>
      <c r="C22" s="1">
        <v>412.32680548621943</v>
      </c>
    </row>
    <row r="23" spans="1:3" x14ac:dyDescent="0.25">
      <c r="A23" s="4" t="s">
        <v>125</v>
      </c>
      <c r="B23" s="3">
        <v>1669.9551884280661</v>
      </c>
      <c r="C23" s="1">
        <v>1131.0068806017309</v>
      </c>
    </row>
    <row r="24" spans="1:3" x14ac:dyDescent="0.25">
      <c r="A24" s="4" t="s">
        <v>34</v>
      </c>
      <c r="B24" s="3">
        <v>2237.5174209304851</v>
      </c>
      <c r="C24" s="1">
        <v>205.32596508639119</v>
      </c>
    </row>
    <row r="25" spans="1:3" x14ac:dyDescent="0.25">
      <c r="A25" s="4" t="s">
        <v>8</v>
      </c>
      <c r="B25" s="3">
        <v>2081.0257500053958</v>
      </c>
      <c r="C25" s="1">
        <v>175.5331670163182</v>
      </c>
    </row>
    <row r="26" spans="1:3" x14ac:dyDescent="0.25">
      <c r="A26" s="4" t="s">
        <v>124</v>
      </c>
      <c r="B26" s="3">
        <v>1974.5009103003911</v>
      </c>
      <c r="C26" s="1">
        <v>556.20417413970665</v>
      </c>
    </row>
    <row r="27" spans="1:3" x14ac:dyDescent="0.25">
      <c r="A27" s="4" t="s">
        <v>35</v>
      </c>
      <c r="B27" s="3">
        <v>441.04734589327518</v>
      </c>
      <c r="C27" s="1">
        <v>324.70739450088848</v>
      </c>
    </row>
    <row r="28" spans="1:3" x14ac:dyDescent="0.25">
      <c r="A28" s="4" t="s">
        <v>60</v>
      </c>
      <c r="B28" s="3">
        <v>0.37619484342174397</v>
      </c>
      <c r="C28" s="1">
        <v>426.41707203963182</v>
      </c>
    </row>
    <row r="29" spans="1:3" x14ac:dyDescent="0.25">
      <c r="A29" s="4" t="s">
        <v>86</v>
      </c>
      <c r="B29" s="3">
        <v>102.7300348896663</v>
      </c>
      <c r="C29" s="1">
        <v>876.7824425671995</v>
      </c>
    </row>
    <row r="30" spans="1:3" x14ac:dyDescent="0.25">
      <c r="A30" s="4" t="s">
        <v>84</v>
      </c>
      <c r="B30" s="3">
        <v>1910.019440346113</v>
      </c>
      <c r="C30" s="1">
        <v>374.84893008153688</v>
      </c>
    </row>
    <row r="31" spans="1:3" x14ac:dyDescent="0.25">
      <c r="A31" s="4" t="s">
        <v>61</v>
      </c>
      <c r="B31" s="3">
        <v>739.02072921223396</v>
      </c>
      <c r="C31" s="1">
        <v>229.79552640193131</v>
      </c>
    </row>
    <row r="32" spans="1:3" x14ac:dyDescent="0.25">
      <c r="A32" s="4" t="s">
        <v>52</v>
      </c>
      <c r="B32" s="3">
        <v>1405.17887124458</v>
      </c>
      <c r="C32" s="1">
        <v>334.57748101677578</v>
      </c>
    </row>
    <row r="33" spans="1:3" x14ac:dyDescent="0.25">
      <c r="A33" s="4" t="s">
        <v>123</v>
      </c>
      <c r="B33" s="3">
        <v>1927.8618486492689</v>
      </c>
      <c r="C33" s="1">
        <v>1315.5658229349631</v>
      </c>
    </row>
    <row r="34" spans="1:3" x14ac:dyDescent="0.25">
      <c r="A34" s="4" t="s">
        <v>57</v>
      </c>
      <c r="B34" s="3">
        <v>1.1862841614282771</v>
      </c>
      <c r="C34" s="1">
        <v>962.66164498365833</v>
      </c>
    </row>
    <row r="35" spans="1:3" x14ac:dyDescent="0.25">
      <c r="A35" s="4" t="s">
        <v>50</v>
      </c>
      <c r="B35" s="3">
        <v>5672.6984385597661</v>
      </c>
      <c r="C35" s="1">
        <v>205.36212996200851</v>
      </c>
    </row>
    <row r="36" spans="1:3" x14ac:dyDescent="0.25">
      <c r="A36" s="4" t="s">
        <v>18</v>
      </c>
      <c r="B36" s="3">
        <v>497.94099679110661</v>
      </c>
      <c r="C36" s="1">
        <v>420.77798567507608</v>
      </c>
    </row>
    <row r="37" spans="1:3" x14ac:dyDescent="0.25">
      <c r="A37" s="4" t="s">
        <v>64</v>
      </c>
      <c r="B37" s="3">
        <v>2.0129576488881011</v>
      </c>
      <c r="C37" s="1">
        <v>331.33662124100681</v>
      </c>
    </row>
    <row r="38" spans="1:3" x14ac:dyDescent="0.25">
      <c r="A38" s="4" t="s">
        <v>5</v>
      </c>
      <c r="B38" s="3">
        <v>797.53942146848453</v>
      </c>
      <c r="C38" s="1">
        <v>74.467173358933096</v>
      </c>
    </row>
    <row r="39" spans="1:3" x14ac:dyDescent="0.25">
      <c r="A39" s="4" t="s">
        <v>23</v>
      </c>
      <c r="B39" s="3">
        <v>983.43651692941239</v>
      </c>
      <c r="C39" s="1">
        <v>195.22494672003339</v>
      </c>
    </row>
    <row r="40" spans="1:3" x14ac:dyDescent="0.25">
      <c r="A40" s="4" t="s">
        <v>39</v>
      </c>
      <c r="B40" s="3">
        <v>574.14095045885949</v>
      </c>
      <c r="C40" s="1">
        <v>792.74454477463701</v>
      </c>
    </row>
    <row r="41" spans="1:3" x14ac:dyDescent="0.25">
      <c r="A41" s="4" t="s">
        <v>117</v>
      </c>
      <c r="B41" s="3">
        <v>1095.0355935450671</v>
      </c>
      <c r="C41" s="1">
        <v>172.79064448691389</v>
      </c>
    </row>
    <row r="42" spans="1:3" x14ac:dyDescent="0.25">
      <c r="A42" s="4" t="s">
        <v>59</v>
      </c>
      <c r="B42" s="3">
        <v>0.29918630238849198</v>
      </c>
      <c r="C42" s="1">
        <v>949.34643914100081</v>
      </c>
    </row>
    <row r="43" spans="1:3" x14ac:dyDescent="0.25">
      <c r="A43" s="4" t="s">
        <v>56</v>
      </c>
      <c r="B43" s="3">
        <v>840.68641825066027</v>
      </c>
      <c r="C43" s="1">
        <v>2.7865113221533528</v>
      </c>
    </row>
    <row r="44" spans="1:3" x14ac:dyDescent="0.25">
      <c r="A44" s="4" t="s">
        <v>51</v>
      </c>
      <c r="B44" s="3">
        <v>2414.8479239471808</v>
      </c>
      <c r="C44" s="1">
        <v>98.927849950726639</v>
      </c>
    </row>
    <row r="45" spans="1:3" x14ac:dyDescent="0.25">
      <c r="A45" s="4" t="s">
        <v>107</v>
      </c>
      <c r="B45" s="3">
        <v>235.80349146081861</v>
      </c>
      <c r="C45" s="1">
        <v>1147.145515477152</v>
      </c>
    </row>
    <row r="46" spans="1:3" x14ac:dyDescent="0.25">
      <c r="A46" s="4" t="s">
        <v>45</v>
      </c>
      <c r="B46" s="3">
        <v>2631.3384330621889</v>
      </c>
      <c r="C46" s="1">
        <v>856.42154146152711</v>
      </c>
    </row>
    <row r="47" spans="1:3" x14ac:dyDescent="0.25">
      <c r="A47" s="4" t="s">
        <v>13</v>
      </c>
      <c r="B47" s="3">
        <v>127.1426842000445</v>
      </c>
      <c r="C47" s="1">
        <v>235.76855828533121</v>
      </c>
    </row>
    <row r="48" spans="1:3" x14ac:dyDescent="0.25">
      <c r="A48" s="4" t="s">
        <v>129</v>
      </c>
      <c r="B48" s="3">
        <v>703.41287135417986</v>
      </c>
      <c r="C48" s="1">
        <v>1079.8461951639531</v>
      </c>
    </row>
    <row r="49" spans="1:3" x14ac:dyDescent="0.25">
      <c r="A49" s="4" t="s">
        <v>105</v>
      </c>
      <c r="B49" s="3">
        <v>4098.7205840225342</v>
      </c>
      <c r="C49" s="1">
        <v>670.52166209576342</v>
      </c>
    </row>
    <row r="50" spans="1:3" x14ac:dyDescent="0.25">
      <c r="A50" s="4" t="s">
        <v>14</v>
      </c>
      <c r="B50" s="3">
        <v>2333.3119755647558</v>
      </c>
      <c r="C50" s="1">
        <v>124.2722244091654</v>
      </c>
    </row>
    <row r="51" spans="1:3" x14ac:dyDescent="0.25">
      <c r="A51" s="4" t="s">
        <v>77</v>
      </c>
      <c r="B51" s="3">
        <v>2939.6214275757002</v>
      </c>
      <c r="C51" s="1">
        <v>2760.9071151839989</v>
      </c>
    </row>
    <row r="52" spans="1:3" x14ac:dyDescent="0.25">
      <c r="A52" s="4" t="s">
        <v>112</v>
      </c>
      <c r="B52" s="3">
        <v>2.8604219328809259</v>
      </c>
      <c r="C52" s="1">
        <v>827.17632006865563</v>
      </c>
    </row>
    <row r="53" spans="1:3" x14ac:dyDescent="0.25">
      <c r="A53" s="4" t="s">
        <v>89</v>
      </c>
      <c r="B53" s="3">
        <v>788.56992097173907</v>
      </c>
      <c r="C53" s="1">
        <v>82.833719895972479</v>
      </c>
    </row>
    <row r="54" spans="1:3" x14ac:dyDescent="0.25">
      <c r="A54" s="4" t="s">
        <v>74</v>
      </c>
      <c r="B54" s="3">
        <v>4416.5631401252904</v>
      </c>
      <c r="C54" s="1">
        <v>1775.173666103062</v>
      </c>
    </row>
    <row r="55" spans="1:3" x14ac:dyDescent="0.25">
      <c r="A55" s="4" t="s">
        <v>46</v>
      </c>
      <c r="B55" s="3">
        <v>4993.1980153313607</v>
      </c>
      <c r="C55" s="1">
        <v>635.21118658158639</v>
      </c>
    </row>
    <row r="56" spans="1:3" x14ac:dyDescent="0.25">
      <c r="A56" s="4" t="s">
        <v>127</v>
      </c>
      <c r="B56" s="3">
        <v>2530.933016150957</v>
      </c>
      <c r="C56" s="1">
        <v>1051.481005912997</v>
      </c>
    </row>
    <row r="57" spans="1:3" x14ac:dyDescent="0.25">
      <c r="A57" s="4" t="s">
        <v>82</v>
      </c>
      <c r="B57" s="3">
        <v>1008.750328922034</v>
      </c>
      <c r="C57" s="1">
        <v>199.43073480711931</v>
      </c>
    </row>
    <row r="58" spans="1:3" x14ac:dyDescent="0.25">
      <c r="A58" s="4" t="s">
        <v>109</v>
      </c>
      <c r="B58" s="3">
        <v>2496.1255614601209</v>
      </c>
      <c r="C58" s="1">
        <v>483.37688705463341</v>
      </c>
    </row>
    <row r="59" spans="1:3" x14ac:dyDescent="0.25">
      <c r="A59" s="4" t="s">
        <v>2</v>
      </c>
      <c r="B59" s="3">
        <v>1536.1262753349181</v>
      </c>
      <c r="C59" s="1">
        <v>1104.2631526972859</v>
      </c>
    </row>
    <row r="60" spans="1:3" x14ac:dyDescent="0.25">
      <c r="A60" s="4" t="s">
        <v>128</v>
      </c>
      <c r="B60" s="3">
        <v>2607.0633811713478</v>
      </c>
      <c r="C60" s="1">
        <v>450.41870983177938</v>
      </c>
    </row>
    <row r="61" spans="1:3" x14ac:dyDescent="0.25">
      <c r="A61" s="4" t="s">
        <v>85</v>
      </c>
      <c r="B61" s="3">
        <v>511.90519553623812</v>
      </c>
      <c r="C61" s="1">
        <v>187.74925500497781</v>
      </c>
    </row>
    <row r="62" spans="1:3" x14ac:dyDescent="0.25">
      <c r="A62" s="4" t="s">
        <v>9</v>
      </c>
      <c r="B62" s="3">
        <v>2354.9290621982718</v>
      </c>
      <c r="C62" s="1">
        <v>208.33814753696569</v>
      </c>
    </row>
    <row r="63" spans="1:3" x14ac:dyDescent="0.25">
      <c r="A63" s="4" t="s">
        <v>47</v>
      </c>
      <c r="B63" s="3">
        <v>4424.4903559025233</v>
      </c>
      <c r="C63" s="1">
        <v>85.624371714143763</v>
      </c>
    </row>
    <row r="64" spans="1:3" x14ac:dyDescent="0.25">
      <c r="A64" s="4" t="s">
        <v>48</v>
      </c>
      <c r="B64" s="3">
        <v>2.0790604161246531</v>
      </c>
      <c r="C64" s="1">
        <v>154.88017524974251</v>
      </c>
    </row>
    <row r="65" spans="1:3" x14ac:dyDescent="0.25">
      <c r="A65" s="4" t="s">
        <v>29</v>
      </c>
      <c r="B65" s="3">
        <v>1275.2313567747281</v>
      </c>
      <c r="C65" s="1">
        <v>1199.2403739464471</v>
      </c>
    </row>
    <row r="66" spans="1:3" x14ac:dyDescent="0.25">
      <c r="A66" s="4" t="s">
        <v>30</v>
      </c>
      <c r="B66" s="3">
        <v>4987.0198227394667</v>
      </c>
      <c r="C66" s="1">
        <v>595.83020715543933</v>
      </c>
    </row>
    <row r="67" spans="1:3" x14ac:dyDescent="0.25">
      <c r="A67" s="4" t="s">
        <v>78</v>
      </c>
      <c r="B67" s="3">
        <v>1641.3535105951721</v>
      </c>
      <c r="C67" s="1">
        <v>35.285352629443203</v>
      </c>
    </row>
    <row r="68" spans="1:3" x14ac:dyDescent="0.25">
      <c r="A68" s="4" t="s">
        <v>73</v>
      </c>
      <c r="B68" s="3">
        <v>47.390303500831777</v>
      </c>
      <c r="C68" s="1">
        <v>32.926228432798517</v>
      </c>
    </row>
    <row r="69" spans="1:3" x14ac:dyDescent="0.25">
      <c r="A69" s="4" t="s">
        <v>32</v>
      </c>
      <c r="B69" s="3">
        <v>7.0704710000000002E-9</v>
      </c>
      <c r="C69" s="1">
        <v>345.94578729286769</v>
      </c>
    </row>
    <row r="70" spans="1:3" x14ac:dyDescent="0.25">
      <c r="A70" s="4" t="s">
        <v>21</v>
      </c>
      <c r="B70" s="3">
        <v>10.003400748090391</v>
      </c>
      <c r="C70" s="1">
        <v>60.723596326973663</v>
      </c>
    </row>
    <row r="71" spans="1:3" x14ac:dyDescent="0.25">
      <c r="A71" s="4" t="s">
        <v>99</v>
      </c>
      <c r="B71" s="3">
        <v>2146.054688965598</v>
      </c>
      <c r="C71" s="1">
        <v>270.09887380909032</v>
      </c>
    </row>
    <row r="72" spans="1:3" x14ac:dyDescent="0.25">
      <c r="A72" s="4" t="s">
        <v>33</v>
      </c>
      <c r="B72" s="3">
        <v>163.85094965929929</v>
      </c>
      <c r="C72" s="1">
        <v>512.98440615812035</v>
      </c>
    </row>
    <row r="73" spans="1:3" x14ac:dyDescent="0.25">
      <c r="A73" s="4" t="s">
        <v>75</v>
      </c>
      <c r="B73" s="3">
        <v>9.826663868749586</v>
      </c>
      <c r="C73" s="1">
        <v>938.17297455123457</v>
      </c>
    </row>
    <row r="74" spans="1:3" x14ac:dyDescent="0.25">
      <c r="A74" s="4" t="s">
        <v>71</v>
      </c>
      <c r="B74" s="3">
        <v>64.277893940485541</v>
      </c>
      <c r="C74" s="1">
        <v>58.146113399807412</v>
      </c>
    </row>
    <row r="75" spans="1:3" x14ac:dyDescent="0.25">
      <c r="A75" s="4" t="s">
        <v>10</v>
      </c>
      <c r="B75" s="3">
        <v>1442.800511027709</v>
      </c>
      <c r="C75" s="1">
        <v>984.9413830036101</v>
      </c>
    </row>
    <row r="76" spans="1:3" x14ac:dyDescent="0.25">
      <c r="A76" s="4" t="s">
        <v>58</v>
      </c>
      <c r="B76" s="3">
        <v>1.3479310392846831</v>
      </c>
      <c r="C76" s="1">
        <v>1497.829506462162</v>
      </c>
    </row>
    <row r="77" spans="1:3" x14ac:dyDescent="0.25">
      <c r="A77" s="4" t="s">
        <v>79</v>
      </c>
      <c r="B77" s="3">
        <v>1022.074377806254</v>
      </c>
      <c r="C77" s="1">
        <v>886.35888470026691</v>
      </c>
    </row>
    <row r="78" spans="1:3" x14ac:dyDescent="0.25">
      <c r="A78" s="4" t="s">
        <v>17</v>
      </c>
      <c r="B78" s="3">
        <v>312.36880961106061</v>
      </c>
      <c r="C78" s="1">
        <v>1218.251674790868</v>
      </c>
    </row>
    <row r="79" spans="1:3" x14ac:dyDescent="0.25">
      <c r="A79" s="4" t="s">
        <v>103</v>
      </c>
      <c r="B79" s="3">
        <v>3161.111710032174</v>
      </c>
      <c r="C79" s="1">
        <v>181.4735715873374</v>
      </c>
    </row>
    <row r="80" spans="1:3" x14ac:dyDescent="0.25">
      <c r="A80" s="4" t="s">
        <v>25</v>
      </c>
      <c r="B80" s="3">
        <v>165.60340494116261</v>
      </c>
      <c r="C80" s="1">
        <v>487.8507346610898</v>
      </c>
    </row>
    <row r="81" spans="1:3" x14ac:dyDescent="0.25">
      <c r="A81" s="4" t="s">
        <v>93</v>
      </c>
      <c r="B81" s="3">
        <v>1960.227175561085</v>
      </c>
      <c r="C81" s="1">
        <v>1517.064723160591</v>
      </c>
    </row>
    <row r="82" spans="1:3" x14ac:dyDescent="0.25">
      <c r="A82" s="4" t="s">
        <v>0</v>
      </c>
      <c r="B82" s="3">
        <v>462.10612741331971</v>
      </c>
      <c r="C82" s="1">
        <v>130.37089349495889</v>
      </c>
    </row>
    <row r="83" spans="1:3" x14ac:dyDescent="0.25">
      <c r="A83" s="4" t="s">
        <v>63</v>
      </c>
      <c r="B83" s="3">
        <v>2274.7543499178951</v>
      </c>
      <c r="C83" s="1">
        <v>897.15697466641939</v>
      </c>
    </row>
    <row r="84" spans="1:3" x14ac:dyDescent="0.25">
      <c r="A84" s="4" t="s">
        <v>68</v>
      </c>
      <c r="B84" s="3">
        <v>523.48847143172225</v>
      </c>
      <c r="C84" s="1">
        <v>263.69988871016739</v>
      </c>
    </row>
    <row r="85" spans="1:3" x14ac:dyDescent="0.25">
      <c r="A85" s="4" t="s">
        <v>69</v>
      </c>
      <c r="B85" s="3">
        <v>477.06051078356847</v>
      </c>
      <c r="C85" s="1">
        <v>341.46809957740282</v>
      </c>
    </row>
    <row r="86" spans="1:3" x14ac:dyDescent="0.25">
      <c r="A86" s="4" t="s">
        <v>106</v>
      </c>
      <c r="B86" s="3">
        <v>394.29626369476432</v>
      </c>
      <c r="C86" s="1">
        <v>692.50584040679291</v>
      </c>
    </row>
    <row r="87" spans="1:3" x14ac:dyDescent="0.25">
      <c r="A87" s="4" t="s">
        <v>119</v>
      </c>
      <c r="B87" s="3">
        <v>2284.8546088299431</v>
      </c>
      <c r="C87" s="1">
        <v>711.37961328519884</v>
      </c>
    </row>
    <row r="88" spans="1:3" x14ac:dyDescent="0.25">
      <c r="A88" s="4" t="s">
        <v>66</v>
      </c>
      <c r="B88" s="3">
        <v>2467.516268596667</v>
      </c>
      <c r="C88" s="1">
        <v>705.07685532202936</v>
      </c>
    </row>
    <row r="89" spans="1:3" x14ac:dyDescent="0.25">
      <c r="A89" s="4" t="s">
        <v>67</v>
      </c>
      <c r="B89" s="3">
        <v>2523.6125338100401</v>
      </c>
      <c r="C89" s="1">
        <v>775.67485631086151</v>
      </c>
    </row>
    <row r="90" spans="1:3" x14ac:dyDescent="0.25">
      <c r="A90" s="4" t="s">
        <v>120</v>
      </c>
      <c r="B90" s="3">
        <v>1276.2084797275011</v>
      </c>
      <c r="C90" s="1">
        <v>1293.184856573266</v>
      </c>
    </row>
    <row r="91" spans="1:3" x14ac:dyDescent="0.25">
      <c r="A91" s="4" t="s">
        <v>130</v>
      </c>
      <c r="B91" s="3">
        <v>1562.7462716044381</v>
      </c>
      <c r="C91" s="1">
        <v>127.8540141653628</v>
      </c>
    </row>
    <row r="92" spans="1:3" x14ac:dyDescent="0.25">
      <c r="A92" s="4" t="s">
        <v>72</v>
      </c>
      <c r="B92" s="3">
        <v>1512.8946077110591</v>
      </c>
      <c r="C92" s="1">
        <v>572.61074262346199</v>
      </c>
    </row>
    <row r="93" spans="1:3" x14ac:dyDescent="0.25">
      <c r="A93" s="4" t="s">
        <v>76</v>
      </c>
      <c r="B93" s="3">
        <v>2.6843793217916532</v>
      </c>
      <c r="C93" s="1">
        <v>1113.106398600584</v>
      </c>
    </row>
    <row r="94" spans="1:3" x14ac:dyDescent="0.25">
      <c r="A94" s="4" t="s">
        <v>97</v>
      </c>
      <c r="B94" s="3">
        <v>1.449345419981209</v>
      </c>
      <c r="C94" s="1">
        <v>628.81485693027196</v>
      </c>
    </row>
    <row r="95" spans="1:3" x14ac:dyDescent="0.25">
      <c r="A95" s="4" t="s">
        <v>28</v>
      </c>
      <c r="B95" s="3">
        <v>100.32891756198489</v>
      </c>
      <c r="C95" s="1">
        <v>624.63087386938764</v>
      </c>
    </row>
    <row r="96" spans="1:3" x14ac:dyDescent="0.25">
      <c r="A96" s="4" t="s">
        <v>6</v>
      </c>
      <c r="B96" s="3">
        <v>1148.826419574792</v>
      </c>
      <c r="C96" s="1">
        <v>371.00682828178151</v>
      </c>
    </row>
    <row r="97" spans="1:3" x14ac:dyDescent="0.25">
      <c r="A97" s="4" t="s">
        <v>62</v>
      </c>
      <c r="B97" s="3">
        <v>1543.0100071706761</v>
      </c>
      <c r="C97" s="1">
        <v>1399.3302274960699</v>
      </c>
    </row>
    <row r="98" spans="1:3" x14ac:dyDescent="0.25">
      <c r="A98" s="4" t="s">
        <v>37</v>
      </c>
      <c r="B98" s="3">
        <v>142.04423278050919</v>
      </c>
      <c r="C98" s="1">
        <v>1239.234491467847</v>
      </c>
    </row>
    <row r="99" spans="1:3" x14ac:dyDescent="0.25">
      <c r="A99" s="4" t="s">
        <v>110</v>
      </c>
      <c r="B99" s="3">
        <v>2.3954503986655289</v>
      </c>
      <c r="C99" s="1">
        <v>386.2287112573016</v>
      </c>
    </row>
    <row r="100" spans="1:3" x14ac:dyDescent="0.25">
      <c r="A100" s="4" t="s">
        <v>65</v>
      </c>
      <c r="B100" s="3">
        <v>3463.0557555775808</v>
      </c>
      <c r="C100" s="1">
        <v>182.92392365116581</v>
      </c>
    </row>
    <row r="101" spans="1:3" x14ac:dyDescent="0.25">
      <c r="A101" s="4" t="s">
        <v>118</v>
      </c>
      <c r="B101" s="3">
        <v>1201.4958738924149</v>
      </c>
      <c r="C101" s="1">
        <v>141.2876965538141</v>
      </c>
    </row>
    <row r="102" spans="1:3" x14ac:dyDescent="0.25">
      <c r="A102" s="4" t="s">
        <v>40</v>
      </c>
      <c r="B102" s="3">
        <v>5597.5051235011042</v>
      </c>
      <c r="C102" s="1">
        <v>1962.0135331672971</v>
      </c>
    </row>
    <row r="103" spans="1:3" x14ac:dyDescent="0.25">
      <c r="A103" s="4" t="s">
        <v>41</v>
      </c>
      <c r="B103" s="3">
        <v>5734.3806919592616</v>
      </c>
      <c r="C103" s="1">
        <v>1954.7784134191011</v>
      </c>
    </row>
    <row r="104" spans="1:3" x14ac:dyDescent="0.25">
      <c r="A104" s="4" t="s">
        <v>90</v>
      </c>
      <c r="B104" s="3">
        <v>4.0978564639560267</v>
      </c>
      <c r="C104" s="1">
        <v>160.57899685783491</v>
      </c>
    </row>
    <row r="105" spans="1:3" x14ac:dyDescent="0.25">
      <c r="A105" s="4" t="s">
        <v>70</v>
      </c>
      <c r="B105" s="3">
        <v>5588.6532236475623</v>
      </c>
      <c r="C105" s="1">
        <v>1199.545107859404</v>
      </c>
    </row>
    <row r="106" spans="1:3" x14ac:dyDescent="0.25">
      <c r="A106" s="4" t="s">
        <v>38</v>
      </c>
      <c r="B106" s="3">
        <v>523.04017465435129</v>
      </c>
      <c r="C106" s="1">
        <v>971.08888990578589</v>
      </c>
    </row>
    <row r="107" spans="1:3" x14ac:dyDescent="0.25">
      <c r="A107" s="4" t="s">
        <v>114</v>
      </c>
      <c r="B107" s="3">
        <v>1114.352661994345</v>
      </c>
      <c r="C107" s="1">
        <v>846.63437895160359</v>
      </c>
    </row>
    <row r="108" spans="1:3" x14ac:dyDescent="0.25">
      <c r="A108" s="4" t="s">
        <v>36</v>
      </c>
      <c r="B108" s="3">
        <v>1056.1610239885019</v>
      </c>
      <c r="C108" s="1">
        <v>380.85424262669977</v>
      </c>
    </row>
    <row r="109" spans="1:3" x14ac:dyDescent="0.25">
      <c r="A109" s="4" t="s">
        <v>100</v>
      </c>
      <c r="B109" s="3">
        <v>2483.3498529479612</v>
      </c>
      <c r="C109" s="1">
        <v>85.381911863735084</v>
      </c>
    </row>
    <row r="110" spans="1:3" x14ac:dyDescent="0.25">
      <c r="A110" s="4" t="s">
        <v>3</v>
      </c>
      <c r="B110" s="3">
        <v>575.16915352022977</v>
      </c>
      <c r="C110" s="1">
        <v>375.43222756789987</v>
      </c>
    </row>
    <row r="111" spans="1:3" x14ac:dyDescent="0.25">
      <c r="A111" s="4" t="s">
        <v>11</v>
      </c>
      <c r="B111" s="3">
        <v>1881.9536025066441</v>
      </c>
      <c r="C111" s="1">
        <v>206.66202074036451</v>
      </c>
    </row>
    <row r="112" spans="1:3" x14ac:dyDescent="0.25">
      <c r="A112" s="4" t="s">
        <v>16</v>
      </c>
      <c r="B112" s="3">
        <v>1212.3149878828051</v>
      </c>
      <c r="C112" s="1">
        <v>63.616626499933901</v>
      </c>
    </row>
    <row r="113" spans="1:3" x14ac:dyDescent="0.25">
      <c r="A113" s="4" t="s">
        <v>44</v>
      </c>
      <c r="B113" s="3">
        <v>302.7169352990029</v>
      </c>
      <c r="C113" s="1">
        <v>964.93727903517606</v>
      </c>
    </row>
    <row r="114" spans="1:3" x14ac:dyDescent="0.25">
      <c r="A114" s="4" t="s">
        <v>111</v>
      </c>
      <c r="B114" s="3">
        <v>1567.8179009005651</v>
      </c>
      <c r="C114" s="1">
        <v>1492.346889992486</v>
      </c>
    </row>
    <row r="115" spans="1:3" x14ac:dyDescent="0.25">
      <c r="A115" s="4" t="s">
        <v>88</v>
      </c>
      <c r="B115" s="3">
        <v>604.95522173626614</v>
      </c>
      <c r="C115" s="1">
        <v>62.803991491877618</v>
      </c>
    </row>
    <row r="116" spans="1:3" x14ac:dyDescent="0.25">
      <c r="A116" s="4" t="s">
        <v>113</v>
      </c>
      <c r="B116" s="3">
        <v>285.86386761278908</v>
      </c>
      <c r="C116" s="1">
        <v>216.97055578410621</v>
      </c>
    </row>
    <row r="117" spans="1:3" x14ac:dyDescent="0.25">
      <c r="A117" s="4" t="s">
        <v>115</v>
      </c>
      <c r="B117" s="3">
        <v>0.48989255310299501</v>
      </c>
      <c r="C117" s="1">
        <v>194.76792583856329</v>
      </c>
    </row>
    <row r="118" spans="1:3" x14ac:dyDescent="0.25">
      <c r="A118" s="4" t="s">
        <v>126</v>
      </c>
      <c r="B118" s="3">
        <v>1137.3058920259839</v>
      </c>
      <c r="C118" s="1">
        <v>507.91759559707788</v>
      </c>
    </row>
    <row r="119" spans="1:3" x14ac:dyDescent="0.25">
      <c r="A119" s="4" t="s">
        <v>83</v>
      </c>
      <c r="B119" s="3">
        <v>899.03781821348866</v>
      </c>
      <c r="C119" s="1">
        <v>987.61935512702632</v>
      </c>
    </row>
    <row r="120" spans="1:3" x14ac:dyDescent="0.25">
      <c r="A120" s="4" t="s">
        <v>98</v>
      </c>
      <c r="B120" s="3">
        <v>780.65302329333383</v>
      </c>
      <c r="C120" s="1">
        <v>732.43418328057464</v>
      </c>
    </row>
    <row r="121" spans="1:3" x14ac:dyDescent="0.25">
      <c r="A121" s="4" t="s">
        <v>53</v>
      </c>
      <c r="B121" s="3">
        <v>1892.017950867285</v>
      </c>
      <c r="C121" s="1">
        <v>134.66110449525661</v>
      </c>
    </row>
    <row r="122" spans="1:3" x14ac:dyDescent="0.25">
      <c r="A122" s="4" t="s">
        <v>43</v>
      </c>
      <c r="B122" s="3">
        <v>1397.858067356364</v>
      </c>
      <c r="C122" s="1">
        <v>257.47722075573108</v>
      </c>
    </row>
    <row r="123" spans="1:3" x14ac:dyDescent="0.25">
      <c r="A123" s="4" t="s">
        <v>49</v>
      </c>
      <c r="B123" s="3">
        <v>2090.00777588864</v>
      </c>
      <c r="C123" s="1">
        <v>759.9011795911141</v>
      </c>
    </row>
    <row r="124" spans="1:3" x14ac:dyDescent="0.25">
      <c r="A124" s="4" t="s">
        <v>116</v>
      </c>
      <c r="B124" s="3">
        <v>2430.7732325563602</v>
      </c>
      <c r="C124" s="1">
        <v>198.852744971308</v>
      </c>
    </row>
    <row r="125" spans="1:3" x14ac:dyDescent="0.25">
      <c r="A125" s="4" t="s">
        <v>94</v>
      </c>
      <c r="B125" s="3">
        <v>2399.305193194517</v>
      </c>
      <c r="C125" s="1">
        <v>68.847030755067152</v>
      </c>
    </row>
    <row r="126" spans="1:3" x14ac:dyDescent="0.25">
      <c r="A126" s="4" t="s">
        <v>102</v>
      </c>
      <c r="B126" s="3">
        <v>370.26566521596732</v>
      </c>
      <c r="C126" s="1">
        <v>2286.1285878788431</v>
      </c>
    </row>
    <row r="127" spans="1:3" x14ac:dyDescent="0.25">
      <c r="A127" s="4" t="s">
        <v>122</v>
      </c>
      <c r="B127" s="3">
        <v>419.04147106172621</v>
      </c>
      <c r="C127" s="1">
        <v>289.45934001902828</v>
      </c>
    </row>
    <row r="128" spans="1:3" x14ac:dyDescent="0.25">
      <c r="A128" s="4" t="s">
        <v>26</v>
      </c>
      <c r="B128" s="3">
        <v>253.78582584341339</v>
      </c>
      <c r="C128" s="1">
        <v>520.4847988393243</v>
      </c>
    </row>
    <row r="129" spans="1:3" x14ac:dyDescent="0.25">
      <c r="A129" s="4" t="s">
        <v>81</v>
      </c>
      <c r="B129" s="3">
        <v>8583.1489582846298</v>
      </c>
      <c r="C129" s="1">
        <v>320.49302063166652</v>
      </c>
    </row>
    <row r="130" spans="1:3" x14ac:dyDescent="0.25">
      <c r="A130" s="4" t="s">
        <v>80</v>
      </c>
      <c r="B130" s="3">
        <v>3990.891701969414</v>
      </c>
      <c r="C130" s="1">
        <v>332.91978738787128</v>
      </c>
    </row>
    <row r="131" spans="1:3" x14ac:dyDescent="0.25">
      <c r="A131" s="4" t="s">
        <v>24</v>
      </c>
      <c r="B131" s="3">
        <v>1.2195854654493661</v>
      </c>
      <c r="C131" s="1">
        <v>151.62375221871449</v>
      </c>
    </row>
    <row r="132" spans="1:3" x14ac:dyDescent="0.25">
      <c r="A132" s="4" t="s">
        <v>121</v>
      </c>
      <c r="B132" s="3">
        <v>744.54055523312809</v>
      </c>
      <c r="C132" s="1">
        <v>795.7831923295862</v>
      </c>
    </row>
  </sheetData>
  <autoFilter ref="A1:C1" xr:uid="{00000000-0001-0000-0000-000000000000}"/>
  <sortState xmlns:xlrd2="http://schemas.microsoft.com/office/spreadsheetml/2017/richdata2" ref="A2:C132">
    <sortCondition ref="A1:A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distances RA_PE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cp:revision>0</cp:revision>
  <dcterms:created xsi:type="dcterms:W3CDTF">2024-04-26T12:13:24Z</dcterms:created>
  <dcterms:modified xsi:type="dcterms:W3CDTF">2026-03-04T07:47:06Z</dcterms:modified>
</cp:coreProperties>
</file>